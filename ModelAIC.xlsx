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allclancy/Desktop/persistence/"/>
    </mc:Choice>
  </mc:AlternateContent>
  <xr:revisionPtr revIDLastSave="0" documentId="8_{108B3979-8200-E547-B7B9-2A9473BFE1A5}" xr6:coauthVersionLast="47" xr6:coauthVersionMax="47" xr10:uidLastSave="{00000000-0000-0000-0000-000000000000}"/>
  <bookViews>
    <workbookView xWindow="680" yWindow="740" windowWidth="28040" windowHeight="16680" xr2:uid="{4C2F3269-5C70-D342-917A-978AA503047C}"/>
  </bookViews>
  <sheets>
    <sheet name="modeldredgeTurnov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11" i="1"/>
  <c r="C12" i="1"/>
  <c r="C13" i="1"/>
  <c r="C14" i="1"/>
  <c r="C16" i="1"/>
  <c r="C17" i="1"/>
  <c r="C18" i="1"/>
  <c r="C19" i="1"/>
  <c r="C20" i="1"/>
  <c r="C10" i="1"/>
  <c r="C4" i="1"/>
  <c r="C5" i="1"/>
  <c r="C6" i="1"/>
  <c r="C7" i="1"/>
  <c r="C3" i="1"/>
</calcChain>
</file>

<file path=xl/sharedStrings.xml><?xml version="1.0" encoding="utf-8"?>
<sst xmlns="http://schemas.openxmlformats.org/spreadsheetml/2006/main" count="25" uniqueCount="22">
  <si>
    <t>AIC</t>
  </si>
  <si>
    <t>Mean Squared Error (MSE)</t>
  </si>
  <si>
    <t>Root Mean Square Error (RMSE)</t>
  </si>
  <si>
    <t>∆ MSE</t>
  </si>
  <si>
    <t>∆ AIC</t>
  </si>
  <si>
    <t>TEMP * AGRI</t>
  </si>
  <si>
    <t>TEMP * PERM * AGRI</t>
  </si>
  <si>
    <t>TEMP * LENGTH * AGRI</t>
  </si>
  <si>
    <t>TEMP * DAM * AGRI</t>
  </si>
  <si>
    <t>TEMP * SIZE * AGRI</t>
  </si>
  <si>
    <t>Community Turnover</t>
  </si>
  <si>
    <t>Native Species Persistence</t>
  </si>
  <si>
    <t>Colonization</t>
  </si>
  <si>
    <t>TEMP + DAM + LENGTH + AGRI</t>
  </si>
  <si>
    <t>TEMP + LENGTH + AGRI</t>
  </si>
  <si>
    <t>TEMP * DAM * LENGTH * PERM * AGRI</t>
  </si>
  <si>
    <t>TEMP + LENGTH + SIZE + AGRI</t>
  </si>
  <si>
    <t>TEMP + DAM + LENGTH + SIZE + AGRI</t>
  </si>
  <si>
    <t>TEMP + DAM + LENGTH + PERM + AGRI</t>
  </si>
  <si>
    <t>TEMP + SIZE + AGRI</t>
  </si>
  <si>
    <t>TEMP + AGRI</t>
  </si>
  <si>
    <t>Model Covariates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</si>
</sst>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000"/>
    <numFmt numFmtId="169" formatCode="0.000"/>
    <numFmt numFmtId="170" formatCode="0.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11" xfId="0" applyFont="1" applyBorder="1" applyAlignment="1">
      <alignment horizontal="center"/>
    </xf>
    <xf numFmtId="0" fontId="0" fillId="0" borderId="12" xfId="0" applyBorder="1"/>
    <xf numFmtId="0" fontId="18" fillId="0" borderId="13" xfId="0" applyFont="1" applyBorder="1" applyAlignment="1">
      <alignment horizontal="center"/>
    </xf>
    <xf numFmtId="0" fontId="0" fillId="0" borderId="10" xfId="0" applyBorder="1"/>
    <xf numFmtId="168" fontId="0" fillId="0" borderId="0" xfId="0" applyNumberFormat="1" applyAlignment="1">
      <alignment horizontal="center"/>
    </xf>
    <xf numFmtId="168" fontId="0" fillId="0" borderId="1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9" fontId="0" fillId="0" borderId="12" xfId="0" applyNumberFormat="1" applyBorder="1" applyAlignment="1">
      <alignment horizontal="center"/>
    </xf>
    <xf numFmtId="16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170" fontId="0" fillId="0" borderId="0" xfId="0" applyNumberFormat="1" applyAlignment="1">
      <alignment horizontal="center"/>
    </xf>
    <xf numFmtId="170" fontId="0" fillId="0" borderId="12" xfId="0" applyNumberFormat="1" applyBorder="1" applyAlignment="1">
      <alignment horizontal="center"/>
    </xf>
    <xf numFmtId="170" fontId="0" fillId="0" borderId="10" xfId="0" applyNumberFormat="1" applyBorder="1" applyAlignment="1">
      <alignment horizontal="center"/>
    </xf>
    <xf numFmtId="168" fontId="0" fillId="0" borderId="1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693E2-BBE3-8948-96FF-4661D0DC7B24}">
  <dimension ref="A1:F20"/>
  <sheetViews>
    <sheetView tabSelected="1" workbookViewId="0">
      <selection sqref="A1:F20"/>
    </sheetView>
  </sheetViews>
  <sheetFormatPr baseColWidth="10" defaultRowHeight="16" x14ac:dyDescent="0.2"/>
  <cols>
    <col min="1" max="1" width="32" bestFit="1" customWidth="1"/>
    <col min="2" max="2" width="17.5" customWidth="1"/>
    <col min="3" max="3" width="19.83203125" customWidth="1"/>
    <col min="4" max="4" width="5.6640625" bestFit="1" customWidth="1"/>
    <col min="5" max="5" width="6.6640625" bestFit="1" customWidth="1"/>
    <col min="6" max="6" width="7.6640625" bestFit="1" customWidth="1"/>
  </cols>
  <sheetData>
    <row r="1" spans="1:6" ht="35" thickBot="1" x14ac:dyDescent="0.25">
      <c r="A1" s="10" t="s">
        <v>21</v>
      </c>
      <c r="B1" s="11" t="s">
        <v>1</v>
      </c>
      <c r="C1" s="11" t="s">
        <v>2</v>
      </c>
      <c r="D1" s="12" t="s">
        <v>0</v>
      </c>
      <c r="E1" s="12" t="s">
        <v>3</v>
      </c>
      <c r="F1" s="12" t="s">
        <v>4</v>
      </c>
    </row>
    <row r="2" spans="1:6" x14ac:dyDescent="0.2">
      <c r="A2" s="1" t="s">
        <v>10</v>
      </c>
      <c r="B2" s="1"/>
      <c r="C2" s="1"/>
      <c r="D2" s="1"/>
      <c r="E2" s="1"/>
      <c r="F2" s="1"/>
    </row>
    <row r="3" spans="1:6" x14ac:dyDescent="0.2">
      <c r="A3" t="s">
        <v>5</v>
      </c>
      <c r="B3" s="5">
        <v>4.7666184523496302E-2</v>
      </c>
      <c r="C3" s="7">
        <f>SQRT(B3)</f>
        <v>0.21832586773787549</v>
      </c>
      <c r="D3" s="13">
        <v>334.83311680293599</v>
      </c>
      <c r="E3" s="5">
        <v>0</v>
      </c>
      <c r="F3" s="5">
        <v>0</v>
      </c>
    </row>
    <row r="4" spans="1:6" x14ac:dyDescent="0.2">
      <c r="A4" t="s">
        <v>6</v>
      </c>
      <c r="B4" s="5">
        <v>4.8222050431437298E-2</v>
      </c>
      <c r="C4" s="7">
        <f t="shared" ref="C4:C7" si="0">SQRT(B4)</f>
        <v>0.21959519674035974</v>
      </c>
      <c r="D4" s="13">
        <v>341.290715790283</v>
      </c>
      <c r="E4" s="5">
        <v>5.5586590794097501E-4</v>
      </c>
      <c r="F4" s="5">
        <v>6.45759898734656</v>
      </c>
    </row>
    <row r="5" spans="1:6" x14ac:dyDescent="0.2">
      <c r="A5" t="s">
        <v>7</v>
      </c>
      <c r="B5" s="5">
        <v>4.8253391839656302E-2</v>
      </c>
      <c r="C5" s="7">
        <f t="shared" si="0"/>
        <v>0.21966654692887649</v>
      </c>
      <c r="D5" s="13">
        <v>342.40616015456101</v>
      </c>
      <c r="E5" s="5">
        <v>5.8720731616002098E-4</v>
      </c>
      <c r="F5" s="5">
        <v>7.5730433516249596</v>
      </c>
    </row>
    <row r="6" spans="1:6" x14ac:dyDescent="0.2">
      <c r="A6" t="s">
        <v>8</v>
      </c>
      <c r="B6" s="5">
        <v>4.8503781278323103E-2</v>
      </c>
      <c r="C6" s="7">
        <f t="shared" si="0"/>
        <v>0.22023574023832532</v>
      </c>
      <c r="D6" s="13">
        <v>342.36317419118899</v>
      </c>
      <c r="E6" s="5">
        <v>8.3759675482686401E-4</v>
      </c>
      <c r="F6" s="5">
        <v>7.5300573882530601</v>
      </c>
    </row>
    <row r="7" spans="1:6" x14ac:dyDescent="0.2">
      <c r="A7" s="2" t="s">
        <v>9</v>
      </c>
      <c r="B7" s="6">
        <v>4.8819826949456399E-2</v>
      </c>
      <c r="C7" s="8">
        <f t="shared" si="0"/>
        <v>0.22095209197800414</v>
      </c>
      <c r="D7" s="14">
        <v>342.108890736859</v>
      </c>
      <c r="E7" s="6">
        <v>1.15364242596008E-3</v>
      </c>
      <c r="F7" s="6">
        <v>7.2757739339234</v>
      </c>
    </row>
    <row r="8" spans="1:6" x14ac:dyDescent="0.2">
      <c r="A8" s="3" t="s">
        <v>11</v>
      </c>
      <c r="B8" s="3"/>
      <c r="C8" s="3"/>
      <c r="D8" s="3"/>
      <c r="E8" s="3"/>
      <c r="F8" s="3"/>
    </row>
    <row r="9" spans="1:6" x14ac:dyDescent="0.2">
      <c r="A9" t="s">
        <v>14</v>
      </c>
      <c r="B9" s="7">
        <v>8.5385805853343794E-2</v>
      </c>
      <c r="C9" s="7">
        <f>SQRT(B9)</f>
        <v>0.29220849722987829</v>
      </c>
      <c r="D9" s="13">
        <v>350.49155639086001</v>
      </c>
      <c r="E9" s="5">
        <v>1.37833526569361E-4</v>
      </c>
      <c r="F9" s="5">
        <v>0</v>
      </c>
    </row>
    <row r="10" spans="1:6" x14ac:dyDescent="0.2">
      <c r="A10" t="s">
        <v>13</v>
      </c>
      <c r="B10" s="7">
        <v>8.5247972326774502E-2</v>
      </c>
      <c r="C10" s="7">
        <f>SQRT(B10)</f>
        <v>0.29197255406420397</v>
      </c>
      <c r="D10" s="13">
        <v>350.98943659105299</v>
      </c>
      <c r="E10" s="5">
        <v>0</v>
      </c>
      <c r="F10" s="5">
        <v>0.49788020019298102</v>
      </c>
    </row>
    <row r="11" spans="1:6" x14ac:dyDescent="0.2">
      <c r="A11" t="s">
        <v>15</v>
      </c>
      <c r="B11" s="7">
        <v>8.53865419565005E-2</v>
      </c>
      <c r="C11" s="7">
        <f t="shared" ref="C11:C20" si="1">SQRT(B11)</f>
        <v>0.2922097567784151</v>
      </c>
      <c r="D11" s="13">
        <v>372.073595645919</v>
      </c>
      <c r="E11" s="5">
        <v>1.3856962972606801E-4</v>
      </c>
      <c r="F11" s="5">
        <v>21.5820392550592</v>
      </c>
    </row>
    <row r="12" spans="1:6" x14ac:dyDescent="0.2">
      <c r="A12" t="s">
        <v>16</v>
      </c>
      <c r="B12" s="7">
        <v>8.5735314096346396E-2</v>
      </c>
      <c r="C12" s="7">
        <f t="shared" si="1"/>
        <v>0.29280593248147552</v>
      </c>
      <c r="D12" s="13">
        <v>352.00046710468598</v>
      </c>
      <c r="E12" s="5">
        <v>4.87341769571978E-4</v>
      </c>
      <c r="F12" s="5">
        <v>1.50891071382631</v>
      </c>
    </row>
    <row r="13" spans="1:6" x14ac:dyDescent="0.2">
      <c r="A13" t="s">
        <v>17</v>
      </c>
      <c r="B13" s="7">
        <v>8.5742797490373404E-2</v>
      </c>
      <c r="C13" s="7">
        <f t="shared" si="1"/>
        <v>0.29281871096358136</v>
      </c>
      <c r="D13" s="13">
        <v>352.87524861954199</v>
      </c>
      <c r="E13" s="5">
        <v>4.9482516359895801E-4</v>
      </c>
      <c r="F13" s="5">
        <v>2.3836922286820399</v>
      </c>
    </row>
    <row r="14" spans="1:6" x14ac:dyDescent="0.2">
      <c r="A14" s="2" t="s">
        <v>18</v>
      </c>
      <c r="B14" s="8">
        <v>8.5768082175747204E-2</v>
      </c>
      <c r="C14" s="8">
        <f t="shared" si="1"/>
        <v>0.29286188242198269</v>
      </c>
      <c r="D14" s="14">
        <v>352.88745843014101</v>
      </c>
      <c r="E14" s="6">
        <v>5.2010984897275802E-4</v>
      </c>
      <c r="F14" s="6">
        <v>2.39590203928122</v>
      </c>
    </row>
    <row r="15" spans="1:6" x14ac:dyDescent="0.2">
      <c r="A15" s="3" t="s">
        <v>12</v>
      </c>
      <c r="B15" s="3"/>
      <c r="C15" s="3"/>
      <c r="D15" s="3"/>
      <c r="E15" s="3"/>
      <c r="F15" s="3"/>
    </row>
    <row r="16" spans="1:6" x14ac:dyDescent="0.2">
      <c r="A16" t="s">
        <v>5</v>
      </c>
      <c r="B16" s="7">
        <v>6.6555887935230207E-2</v>
      </c>
      <c r="C16" s="7">
        <f t="shared" si="1"/>
        <v>0.25798427846523941</v>
      </c>
      <c r="D16" s="13">
        <v>306.356269148916</v>
      </c>
      <c r="E16" s="5">
        <v>0</v>
      </c>
      <c r="F16" s="5">
        <v>0</v>
      </c>
    </row>
    <row r="17" spans="1:6" x14ac:dyDescent="0.2">
      <c r="A17" t="s">
        <v>7</v>
      </c>
      <c r="B17" s="7">
        <v>6.7601111157010493E-2</v>
      </c>
      <c r="C17" s="7">
        <f t="shared" si="1"/>
        <v>0.26000213683162393</v>
      </c>
      <c r="D17" s="13">
        <v>314.60234871535698</v>
      </c>
      <c r="E17" s="5">
        <v>1.0452232217802999E-3</v>
      </c>
      <c r="F17" s="5">
        <v>8.2460795664414999</v>
      </c>
    </row>
    <row r="18" spans="1:6" x14ac:dyDescent="0.2">
      <c r="A18" t="s">
        <v>19</v>
      </c>
      <c r="B18" s="7">
        <v>6.7888269817139496E-2</v>
      </c>
      <c r="C18" s="7">
        <f t="shared" si="1"/>
        <v>0.26055377528859469</v>
      </c>
      <c r="D18" s="13">
        <v>307.777658724655</v>
      </c>
      <c r="E18" s="5">
        <v>1.3323818819092901E-3</v>
      </c>
      <c r="F18" s="5">
        <v>1.4213895757393999</v>
      </c>
    </row>
    <row r="19" spans="1:6" x14ac:dyDescent="0.2">
      <c r="A19" t="s">
        <v>20</v>
      </c>
      <c r="B19" s="7">
        <v>6.7893657964208501E-2</v>
      </c>
      <c r="C19" s="7">
        <f t="shared" si="1"/>
        <v>0.26056411488193937</v>
      </c>
      <c r="D19" s="13">
        <v>306.72211933762799</v>
      </c>
      <c r="E19" s="5">
        <v>1.3377700289782799E-3</v>
      </c>
      <c r="F19" s="5">
        <v>0.36585018871215902</v>
      </c>
    </row>
    <row r="20" spans="1:6" ht="17" thickBot="1" x14ac:dyDescent="0.25">
      <c r="A20" s="4" t="s">
        <v>14</v>
      </c>
      <c r="B20" s="9">
        <v>6.7953588041082494E-2</v>
      </c>
      <c r="C20" s="9">
        <f t="shared" si="1"/>
        <v>0.26067909014932994</v>
      </c>
      <c r="D20" s="15">
        <v>308.30401314328202</v>
      </c>
      <c r="E20" s="16">
        <v>1.39770010585229E-3</v>
      </c>
      <c r="F20" s="16">
        <v>1.94774399436659</v>
      </c>
    </row>
  </sheetData>
  <mergeCells count="3">
    <mergeCell ref="A2:F2"/>
    <mergeCell ref="A8:F8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modeldredgeTurnover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Niall Gallagher Clancy</cp:lastModifiedBy>
  <dcterms:created xsi:type="dcterms:W3CDTF">2026-01-17T00:17:55Z</dcterms:created>
  <dcterms:modified xsi:type="dcterms:W3CDTF">2026-01-17T00:17:55Z</dcterms:modified>
</cp:coreProperties>
</file>